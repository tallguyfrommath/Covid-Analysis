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ME\Desktop\msc\excel projects\"/>
    </mc:Choice>
  </mc:AlternateContent>
  <bookViews>
    <workbookView xWindow="0" yWindow="0" windowWidth="16815" windowHeight="6855" activeTab="1"/>
  </bookViews>
  <sheets>
    <sheet name="Sheet1" sheetId="1" r:id="rId1"/>
    <sheet name="Sheet2" sheetId="2" r:id="rId2"/>
  </sheets>
  <definedNames>
    <definedName name="Active">Sheet1!$C$2:$C$37</definedName>
    <definedName name="Confirmed">Sheet1!$B$2:$B$37</definedName>
    <definedName name="covid_19_india_data_source_mohfw" localSheetId="0">Sheet1!#REF!</definedName>
    <definedName name="Deaths">Sheet1!$E$2:$E$37</definedName>
    <definedName name="Recovered">Sheet1!$D$2:$D$37</definedName>
    <definedName name="State">Sheet1!$A$2:$A$37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2" i="2"/>
</calcChain>
</file>

<file path=xl/sharedStrings.xml><?xml version="1.0" encoding="utf-8"?>
<sst xmlns="http://schemas.openxmlformats.org/spreadsheetml/2006/main" count="81" uniqueCount="44">
  <si>
    <t>State</t>
  </si>
  <si>
    <t>Andhra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</si>
  <si>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</si>
  <si>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</si>
  <si>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</si>
  <si>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</si>
  <si>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</si>
  <si>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</si>
  <si>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</si>
  <si>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</si>
  <si>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</si>
  <si>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</si>
  <si>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</si>
  <si>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Madhya Pradesh</t>
  </si>
  <si>
    <t>Maharashtra</t>
  </si>
  <si>
    <t>Punjab</t>
  </si>
  <si>
    <t>Rajasthan</t>
  </si>
  <si>
    <t>Tamil Nadu</t>
  </si>
  <si>
    <t>Uttar Pradesh</t>
  </si>
  <si>
    <t>West Bengal</t>
  </si>
  <si>
    <t>Source: Ministry of Health and Family Welfare, India</t>
  </si>
  <si>
    <t>Confirmed</t>
  </si>
  <si>
    <t>Active</t>
  </si>
  <si>
    <t>Recovered</t>
  </si>
  <si>
    <t>Deaths</t>
  </si>
  <si>
    <t>Andaman and Nicobar Islands</t>
  </si>
  <si>
    <t>Arunachal Pradesh</t>
  </si>
  <si>
    <t>Chandigarh</t>
  </si>
  <si>
    <t>Dadra and Nagar Haveli and Daman and Diu</t>
  </si>
  <si>
    <t>Delhi</t>
  </si>
  <si>
    <t>Ladakh</t>
  </si>
  <si>
    <t>Lakshadweep</t>
  </si>
  <si>
    <t>Manipur</t>
  </si>
  <si>
    <t>Meghalaya</t>
  </si>
  <si>
    <t>Mizoram</t>
  </si>
  <si>
    <t>Nagaland</t>
  </si>
  <si>
    <t>Puducherry</t>
  </si>
  <si>
    <t>Sikkim</t>
  </si>
  <si>
    <t>Telengana</t>
  </si>
  <si>
    <t>Tripura</t>
  </si>
  <si>
    <t>States</t>
  </si>
  <si>
    <t>Last Updated: 10 December 2020, 20:17 PM</t>
  </si>
  <si>
    <t>Orissa</t>
  </si>
  <si>
    <t>Uttaranchal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</si>
</sst>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  <xf numFmtId="0" fontId="2" fillId="0" borderId="0" xfId="0" applyFont="1"/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0</xdr:row>
      <xdr:rowOff>109537</xdr:rowOff>
    </xdr:from>
    <xdr:to>
      <xdr:col>12</xdr:col>
      <xdr:colOff>561975</xdr:colOff>
      <xdr:row>21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pp 2"/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App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tables/table1.xml><?xml version="1.0" encoding="utf-8"?>
<table xmlns="http://schemas.openxmlformats.org/spreadsheetml/2006/main" id="2" name="Table2" displayName="Table2" ref="A1:E37" totalsRowShown="0" headerRowDxfId="0">
  <autoFilter ref="A1:E37"/>
  <tableColumns count="5">
    <tableColumn id="1" name="State"/>
    <tableColumn id="2" name="Confirmed" dataDxfId="4"/>
    <tableColumn id="3" name="Active" dataDxfId="3"/>
    <tableColumn id="4" name="Recovered" dataDxfId="2"/>
    <tableColumn id="5" name="Death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B37" totalsRowShown="0" headerRowDxfId="5">
  <autoFilter ref="A1:B37">
    <filterColumn colId="0" hiddenButton="1"/>
    <filterColumn colId="1" hiddenButton="1"/>
  </autoFilter>
  <tableColumns count="2">
    <tableColumn id="1" name="States"/>
    <tableColumn id="2" name="Deaths">
      <calculatedColumnFormula>VLOOKUP(A2,Sheet1!$A$2:$E$37,MATCH(Sheet2!$B$1,Sheet1!$A$1:$E$1,0),FALSE)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B809304-1BB8-4195-A69F-9B0F98B7D9E8}">
  <we:reference id="wa103304320" version="1.1.0.0" store="en-US" storeType="OMEX"/>
  <we:alternateReferences/>
  <we:properties>
    <we:property name="transX" value="null"/>
    <we:property name="transY" value="null"/>
    <we:property name="scale" value="null"/>
    <we:property name="dataLabels" value="true"/>
    <we:property name="legend" value="&quot;2&quot;"/>
    <we:property name="theme" value="&quot;1&quot;"/>
    <we:property name="title" value="&quot;Heat Map&quot;"/>
    <we:property name="iState" value="&quot;0&quot;"/>
    <we:property name="iValue" value="&quot;1&quot;"/>
    <we:property name="mapType" value="&quot;india&quot;"/>
  </we:properties>
  <we:bindings>
    <we:binding id="binding1" type="matrix" appref="{C0B09EFD-239E-4D92-A55E-187B016A174D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9"/>
  <sheetViews>
    <sheetView topLeftCell="A15" zoomScale="80" zoomScaleNormal="80" workbookViewId="0">
      <selection activeCell="J44" sqref="J44"/>
    </sheetView>
  </sheetViews>
  <sheetFormatPr defaultRowHeight="15" x14ac:dyDescent="0.25"/>
  <cols>
    <col min="1" max="1" width="45.42578125" customWidth="1"/>
    <col min="2" max="2" width="17.140625" customWidth="1"/>
    <col min="3" max="3" width="10.85546875" customWidth="1"/>
    <col min="4" max="4" width="14.85546875" customWidth="1"/>
    <col min="5" max="5" width="11.28515625" customWidth="1"/>
  </cols>
  <sheetData>
    <row r="1" spans="1:5" ht="18.75" x14ac:dyDescent="0.3">
      <c r="A1" s="2" t="s">
        <v>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25">
      <c r="A2" t="s">
        <v>25</v>
      </c>
      <c r="B2" s="1">
        <v>4783</v>
      </c>
      <c r="C2" s="1">
        <v>75</v>
      </c>
      <c r="D2" s="1">
        <v>4647</v>
      </c>
      <c r="E2" s="1">
        <v>61</v>
      </c>
    </row>
    <row r="3" spans="1:5" x14ac:dyDescent="0.25">
      <c r="A3" t="s">
        <v>1</v>
      </c>
      <c r="B3" s="1">
        <v>873457</v>
      </c>
      <c r="C3" s="1">
        <v>5259</v>
      </c>
      <c r="D3" s="1">
        <v>861153</v>
      </c>
      <c r="E3" s="1">
        <v>7045</v>
      </c>
    </row>
    <row r="4" spans="1:5" x14ac:dyDescent="0.25">
      <c r="A4" t="s">
        <v>26</v>
      </c>
      <c r="B4" s="1">
        <v>16461</v>
      </c>
      <c r="C4" s="1">
        <v>709</v>
      </c>
      <c r="D4" s="1">
        <v>15697</v>
      </c>
      <c r="E4" s="1">
        <v>55</v>
      </c>
    </row>
    <row r="5" spans="1:5" x14ac:dyDescent="0.25">
      <c r="A5" t="s">
        <v>2</v>
      </c>
      <c r="B5" s="1">
        <v>214165</v>
      </c>
      <c r="C5" s="1">
        <v>3542</v>
      </c>
      <c r="D5" s="1">
        <v>209625</v>
      </c>
      <c r="E5" s="1">
        <v>998</v>
      </c>
    </row>
    <row r="6" spans="1:5" x14ac:dyDescent="0.25">
      <c r="A6" t="s">
        <v>3</v>
      </c>
      <c r="B6" s="1">
        <v>239955</v>
      </c>
      <c r="C6" s="1">
        <v>5354</v>
      </c>
      <c r="D6" s="1">
        <v>233298</v>
      </c>
      <c r="E6" s="1">
        <v>1303</v>
      </c>
    </row>
    <row r="7" spans="1:5" x14ac:dyDescent="0.25">
      <c r="A7" t="s">
        <v>27</v>
      </c>
      <c r="B7" s="1">
        <v>18322</v>
      </c>
      <c r="C7" s="1">
        <v>897</v>
      </c>
      <c r="D7" s="1">
        <v>17128</v>
      </c>
      <c r="E7" s="1">
        <v>297</v>
      </c>
    </row>
    <row r="8" spans="1:5" x14ac:dyDescent="0.25">
      <c r="A8" t="s">
        <v>4</v>
      </c>
      <c r="B8" s="1">
        <v>251120</v>
      </c>
      <c r="C8" s="1">
        <v>19778</v>
      </c>
      <c r="D8" s="1">
        <v>228304</v>
      </c>
      <c r="E8" s="1">
        <v>3038</v>
      </c>
    </row>
    <row r="9" spans="1:5" x14ac:dyDescent="0.25">
      <c r="A9" t="s">
        <v>28</v>
      </c>
      <c r="B9" s="1">
        <v>3354</v>
      </c>
      <c r="C9" s="1">
        <v>21</v>
      </c>
      <c r="D9" s="1">
        <v>3331</v>
      </c>
      <c r="E9" s="1">
        <v>2</v>
      </c>
    </row>
    <row r="10" spans="1:5" x14ac:dyDescent="0.25">
      <c r="A10" t="s">
        <v>29</v>
      </c>
      <c r="B10" s="1">
        <v>599575</v>
      </c>
      <c r="C10" s="1">
        <v>20546</v>
      </c>
      <c r="D10" s="1">
        <v>569216</v>
      </c>
      <c r="E10" s="1">
        <v>9813</v>
      </c>
    </row>
    <row r="11" spans="1:5" x14ac:dyDescent="0.25">
      <c r="A11" t="s">
        <v>5</v>
      </c>
      <c r="B11" s="1">
        <v>49036</v>
      </c>
      <c r="C11" s="1">
        <v>1277</v>
      </c>
      <c r="D11" s="1">
        <v>47056</v>
      </c>
      <c r="E11" s="1">
        <v>703</v>
      </c>
    </row>
    <row r="12" spans="1:5" x14ac:dyDescent="0.25">
      <c r="A12" t="s">
        <v>6</v>
      </c>
      <c r="B12" s="1">
        <v>222811</v>
      </c>
      <c r="C12" s="1">
        <v>14027</v>
      </c>
      <c r="D12" s="1">
        <v>204661</v>
      </c>
      <c r="E12" s="1">
        <v>4123</v>
      </c>
    </row>
    <row r="13" spans="1:5" x14ac:dyDescent="0.25">
      <c r="A13" t="s">
        <v>7</v>
      </c>
      <c r="B13" s="1">
        <v>248079</v>
      </c>
      <c r="C13" s="1">
        <v>11733</v>
      </c>
      <c r="D13" s="1">
        <v>233696</v>
      </c>
      <c r="E13" s="1">
        <v>2650</v>
      </c>
    </row>
    <row r="14" spans="1:5" x14ac:dyDescent="0.25">
      <c r="A14" t="s">
        <v>8</v>
      </c>
      <c r="B14" s="1">
        <v>46930</v>
      </c>
      <c r="C14" s="1">
        <v>7475</v>
      </c>
      <c r="D14" s="1">
        <v>38690</v>
      </c>
      <c r="E14" s="1">
        <v>765</v>
      </c>
    </row>
    <row r="15" spans="1:5" x14ac:dyDescent="0.25">
      <c r="A15" t="s">
        <v>9</v>
      </c>
      <c r="B15" s="1">
        <v>114407</v>
      </c>
      <c r="C15" s="1">
        <v>5016</v>
      </c>
      <c r="D15" s="1">
        <v>107624</v>
      </c>
      <c r="E15" s="1">
        <v>1767</v>
      </c>
    </row>
    <row r="16" spans="1:5" x14ac:dyDescent="0.25">
      <c r="A16" t="s">
        <v>10</v>
      </c>
      <c r="B16" s="1">
        <v>110830</v>
      </c>
      <c r="C16" s="1">
        <v>1739</v>
      </c>
      <c r="D16" s="1">
        <v>108100</v>
      </c>
      <c r="E16" s="1">
        <v>991</v>
      </c>
    </row>
    <row r="17" spans="1:5" x14ac:dyDescent="0.25">
      <c r="A17" t="s">
        <v>11</v>
      </c>
      <c r="B17" s="1">
        <v>896563</v>
      </c>
      <c r="C17" s="1">
        <v>23075</v>
      </c>
      <c r="D17" s="1">
        <v>861588</v>
      </c>
      <c r="E17" s="1">
        <v>11900</v>
      </c>
    </row>
    <row r="18" spans="1:5" x14ac:dyDescent="0.25">
      <c r="A18" t="s">
        <v>12</v>
      </c>
      <c r="B18" s="1">
        <v>649571</v>
      </c>
      <c r="C18" s="1">
        <v>60066</v>
      </c>
      <c r="D18" s="1">
        <v>586998</v>
      </c>
      <c r="E18" s="1">
        <v>2507</v>
      </c>
    </row>
    <row r="19" spans="1:5" x14ac:dyDescent="0.25">
      <c r="A19" t="s">
        <v>30</v>
      </c>
      <c r="B19" s="1">
        <v>9045</v>
      </c>
      <c r="C19" s="1">
        <v>819</v>
      </c>
      <c r="D19" s="1">
        <v>8104</v>
      </c>
      <c r="E19" s="1">
        <v>122</v>
      </c>
    </row>
    <row r="20" spans="1:5" x14ac:dyDescent="0.25">
      <c r="A20" t="s">
        <v>31</v>
      </c>
      <c r="B20" s="1">
        <v>0</v>
      </c>
      <c r="C20" s="1">
        <v>0</v>
      </c>
      <c r="D20" s="1">
        <v>0</v>
      </c>
      <c r="E20" s="1">
        <v>0</v>
      </c>
    </row>
    <row r="21" spans="1:5" x14ac:dyDescent="0.25">
      <c r="A21" t="s">
        <v>13</v>
      </c>
      <c r="B21" s="1">
        <v>218574</v>
      </c>
      <c r="C21" s="1">
        <v>13221</v>
      </c>
      <c r="D21" s="1">
        <v>201987</v>
      </c>
      <c r="E21" s="1">
        <v>3366</v>
      </c>
    </row>
    <row r="22" spans="1:5" x14ac:dyDescent="0.25">
      <c r="A22" t="s">
        <v>14</v>
      </c>
      <c r="B22" s="1">
        <v>1864348</v>
      </c>
      <c r="C22" s="1">
        <v>74315</v>
      </c>
      <c r="D22" s="1">
        <v>1742131</v>
      </c>
      <c r="E22" s="1">
        <v>47902</v>
      </c>
    </row>
    <row r="23" spans="1:5" x14ac:dyDescent="0.25">
      <c r="A23" t="s">
        <v>32</v>
      </c>
      <c r="B23" s="1">
        <v>26534</v>
      </c>
      <c r="C23" s="1">
        <v>2915</v>
      </c>
      <c r="D23" s="1">
        <v>23301</v>
      </c>
      <c r="E23" s="1">
        <v>318</v>
      </c>
    </row>
    <row r="24" spans="1:5" x14ac:dyDescent="0.25">
      <c r="A24" t="s">
        <v>33</v>
      </c>
      <c r="B24" s="1">
        <v>12511</v>
      </c>
      <c r="C24" s="1">
        <v>534</v>
      </c>
      <c r="D24" s="1">
        <v>11855</v>
      </c>
      <c r="E24" s="1">
        <v>122</v>
      </c>
    </row>
    <row r="25" spans="1:5" x14ac:dyDescent="0.25">
      <c r="A25" t="s">
        <v>34</v>
      </c>
      <c r="B25" s="1">
        <v>3994</v>
      </c>
      <c r="C25" s="1">
        <v>204</v>
      </c>
      <c r="D25" s="1">
        <v>3784</v>
      </c>
      <c r="E25" s="1">
        <v>6</v>
      </c>
    </row>
    <row r="26" spans="1:5" x14ac:dyDescent="0.25">
      <c r="A26" t="s">
        <v>35</v>
      </c>
      <c r="B26" s="1">
        <v>11508</v>
      </c>
      <c r="C26" s="1">
        <v>592</v>
      </c>
      <c r="D26" s="1">
        <v>10849</v>
      </c>
      <c r="E26" s="1">
        <v>67</v>
      </c>
    </row>
    <row r="27" spans="1:5" x14ac:dyDescent="0.25">
      <c r="A27" t="s">
        <v>42</v>
      </c>
      <c r="B27" s="1">
        <v>322299</v>
      </c>
      <c r="C27" s="1">
        <v>3098</v>
      </c>
      <c r="D27" s="1">
        <v>317412</v>
      </c>
      <c r="E27" s="1">
        <v>1789</v>
      </c>
    </row>
    <row r="28" spans="1:5" x14ac:dyDescent="0.25">
      <c r="A28" t="s">
        <v>36</v>
      </c>
      <c r="B28" s="1">
        <v>37339</v>
      </c>
      <c r="C28" s="1">
        <v>370</v>
      </c>
      <c r="D28" s="1">
        <v>36354</v>
      </c>
      <c r="E28" s="1">
        <v>615</v>
      </c>
    </row>
    <row r="29" spans="1:5" x14ac:dyDescent="0.25">
      <c r="A29" t="s">
        <v>15</v>
      </c>
      <c r="B29" s="1">
        <v>157928</v>
      </c>
      <c r="C29" s="1">
        <v>7325</v>
      </c>
      <c r="D29" s="1">
        <v>145623</v>
      </c>
      <c r="E29" s="1">
        <v>4980</v>
      </c>
    </row>
    <row r="30" spans="1:5" x14ac:dyDescent="0.25">
      <c r="A30" t="s">
        <v>16</v>
      </c>
      <c r="B30" s="1">
        <v>285627</v>
      </c>
      <c r="C30" s="1">
        <v>19792</v>
      </c>
      <c r="D30" s="1">
        <v>263350</v>
      </c>
      <c r="E30" s="1">
        <v>2485</v>
      </c>
    </row>
    <row r="31" spans="1:5" x14ac:dyDescent="0.25">
      <c r="A31" t="s">
        <v>37</v>
      </c>
      <c r="B31" s="1">
        <v>5239</v>
      </c>
      <c r="C31" s="1">
        <v>368</v>
      </c>
      <c r="D31" s="1">
        <v>4754</v>
      </c>
      <c r="E31" s="1">
        <v>117</v>
      </c>
    </row>
    <row r="32" spans="1:5" x14ac:dyDescent="0.25">
      <c r="A32" t="s">
        <v>17</v>
      </c>
      <c r="B32" s="1">
        <v>794020</v>
      </c>
      <c r="C32" s="1">
        <v>10491</v>
      </c>
      <c r="D32" s="1">
        <v>771693</v>
      </c>
      <c r="E32" s="1">
        <v>11836</v>
      </c>
    </row>
    <row r="33" spans="1:5" x14ac:dyDescent="0.25">
      <c r="A33" t="s">
        <v>38</v>
      </c>
      <c r="B33" s="1">
        <v>275904</v>
      </c>
      <c r="C33" s="1">
        <v>7497</v>
      </c>
      <c r="D33" s="1">
        <v>266925</v>
      </c>
      <c r="E33" s="1">
        <v>1482</v>
      </c>
    </row>
    <row r="34" spans="1:5" x14ac:dyDescent="0.25">
      <c r="A34" t="s">
        <v>39</v>
      </c>
      <c r="B34" s="1">
        <v>32976</v>
      </c>
      <c r="C34" s="1">
        <v>399</v>
      </c>
      <c r="D34" s="1">
        <v>32204</v>
      </c>
      <c r="E34" s="1">
        <v>373</v>
      </c>
    </row>
    <row r="35" spans="1:5" x14ac:dyDescent="0.25">
      <c r="A35" t="s">
        <v>43</v>
      </c>
      <c r="B35" s="1">
        <v>79656</v>
      </c>
      <c r="C35" s="1">
        <v>5456</v>
      </c>
      <c r="D35" s="1">
        <v>72880</v>
      </c>
      <c r="E35" s="1">
        <v>1320</v>
      </c>
    </row>
    <row r="36" spans="1:5" x14ac:dyDescent="0.25">
      <c r="A36" t="s">
        <v>18</v>
      </c>
      <c r="B36" s="1">
        <v>559499</v>
      </c>
      <c r="C36" s="1">
        <v>20658</v>
      </c>
      <c r="D36" s="1">
        <v>530854</v>
      </c>
      <c r="E36" s="1">
        <v>7987</v>
      </c>
    </row>
    <row r="37" spans="1:5" x14ac:dyDescent="0.25">
      <c r="A37" t="s">
        <v>19</v>
      </c>
      <c r="B37" s="1">
        <v>510951</v>
      </c>
      <c r="C37" s="1">
        <v>23650</v>
      </c>
      <c r="D37" s="1">
        <v>478434</v>
      </c>
      <c r="E37" s="1">
        <v>8867</v>
      </c>
    </row>
    <row r="38" spans="1:5" x14ac:dyDescent="0.25">
      <c r="A38" s="4" t="s">
        <v>41</v>
      </c>
      <c r="B38" s="1"/>
      <c r="C38" s="1"/>
      <c r="D38" s="1"/>
      <c r="E38" s="1"/>
    </row>
    <row r="39" spans="1:5" x14ac:dyDescent="0.25">
      <c r="A39" s="4" t="s">
        <v>20</v>
      </c>
      <c r="B39" s="1"/>
      <c r="C39" s="1"/>
      <c r="D39" s="1"/>
      <c r="E39" s="1"/>
    </row>
  </sheetData>
  <conditionalFormatting sqref="A1:E39">
    <cfRule type="colorScale" priority="10">
      <colorScale>
        <cfvo type="min"/>
        <cfvo type="percentile" val="50"/>
        <cfvo type="max"/>
        <color theme="9" tint="0.39997558519241921"/>
        <color rgb="FFFFEB84"/>
        <color rgb="FFFF0000"/>
      </colorScale>
    </cfRule>
  </conditionalFormatting>
  <conditionalFormatting sqref="A38:A39">
    <cfRule type="colorScale" priority="1">
      <colorScale>
        <cfvo type="min"/>
        <cfvo type="percentile" val="50"/>
        <cfvo type="max"/>
        <color theme="9" tint="0.39994506668294322"/>
        <color rgb="FFFFEB84"/>
        <color rgb="FFFF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9"/>
  <sheetViews>
    <sheetView tabSelected="1" workbookViewId="0">
      <selection activeCell="B1" sqref="B1"/>
    </sheetView>
  </sheetViews>
  <sheetFormatPr defaultRowHeight="15" x14ac:dyDescent="0.25"/>
  <cols>
    <col min="1" max="1" width="45.42578125" customWidth="1"/>
    <col min="2" max="2" width="17.140625" customWidth="1"/>
    <col min="3" max="3" width="14.42578125" customWidth="1"/>
    <col min="4" max="4" width="11.28515625" customWidth="1"/>
  </cols>
  <sheetData>
    <row r="1" spans="1:4" ht="18.75" x14ac:dyDescent="0.3">
      <c r="A1" s="2" t="s">
        <v>40</v>
      </c>
      <c r="B1" s="2" t="s">
        <v>24</v>
      </c>
      <c r="C1" s="2"/>
      <c r="D1" s="2"/>
    </row>
    <row r="2" spans="1:4" x14ac:dyDescent="0.25">
      <c r="A2" t="s">
        <v>25</v>
      </c>
      <c r="B2">
        <f>VLOOKUP(A2,Sheet1!$A$2:$E$37,MATCH(Sheet2!$B$1,Sheet1!$A$1:$E$1,0),FALSE)</f>
        <v>61</v>
      </c>
    </row>
    <row r="3" spans="1:4" x14ac:dyDescent="0.25">
      <c r="A3" t="s">
        <v>1</v>
      </c>
      <c r="B3">
        <f>VLOOKUP(A3,Sheet1!$A$2:$E$37,MATCH(Sheet2!$B$1,Sheet1!$A$1:$E$1,0),FALSE)</f>
        <v>7045</v>
      </c>
    </row>
    <row r="4" spans="1:4" x14ac:dyDescent="0.25">
      <c r="A4" t="s">
        <v>26</v>
      </c>
      <c r="B4">
        <f>VLOOKUP(A4,Sheet1!$A$2:$E$37,MATCH(Sheet2!$B$1,Sheet1!$A$1:$E$1,0),FALSE)</f>
        <v>55</v>
      </c>
    </row>
    <row r="5" spans="1:4" x14ac:dyDescent="0.25">
      <c r="A5" t="s">
        <v>2</v>
      </c>
      <c r="B5">
        <f>VLOOKUP(A5,Sheet1!$A$2:$E$37,MATCH(Sheet2!$B$1,Sheet1!$A$1:$E$1,0),FALSE)</f>
        <v>998</v>
      </c>
    </row>
    <row r="6" spans="1:4" x14ac:dyDescent="0.25">
      <c r="A6" t="s">
        <v>3</v>
      </c>
      <c r="B6">
        <f>VLOOKUP(A6,Sheet1!$A$2:$E$37,MATCH(Sheet2!$B$1,Sheet1!$A$1:$E$1,0),FALSE)</f>
        <v>1303</v>
      </c>
    </row>
    <row r="7" spans="1:4" x14ac:dyDescent="0.25">
      <c r="A7" t="s">
        <v>27</v>
      </c>
      <c r="B7">
        <f>VLOOKUP(A7,Sheet1!$A$2:$E$37,MATCH(Sheet2!$B$1,Sheet1!$A$1:$E$1,0),FALSE)</f>
        <v>297</v>
      </c>
    </row>
    <row r="8" spans="1:4" x14ac:dyDescent="0.25">
      <c r="A8" t="s">
        <v>4</v>
      </c>
      <c r="B8">
        <f>VLOOKUP(A8,Sheet1!$A$2:$E$37,MATCH(Sheet2!$B$1,Sheet1!$A$1:$E$1,0),FALSE)</f>
        <v>3038</v>
      </c>
    </row>
    <row r="9" spans="1:4" x14ac:dyDescent="0.25">
      <c r="A9" t="s">
        <v>28</v>
      </c>
      <c r="B9">
        <f>VLOOKUP(A9,Sheet1!$A$2:$E$37,MATCH(Sheet2!$B$1,Sheet1!$A$1:$E$1,0),FALSE)</f>
        <v>2</v>
      </c>
    </row>
    <row r="10" spans="1:4" x14ac:dyDescent="0.25">
      <c r="A10" t="s">
        <v>29</v>
      </c>
      <c r="B10">
        <f>VLOOKUP(A10,Sheet1!$A$2:$E$37,MATCH(Sheet2!$B$1,Sheet1!$A$1:$E$1,0),FALSE)</f>
        <v>9813</v>
      </c>
    </row>
    <row r="11" spans="1:4" x14ac:dyDescent="0.25">
      <c r="A11" t="s">
        <v>5</v>
      </c>
      <c r="B11">
        <f>VLOOKUP(A11,Sheet1!$A$2:$E$37,MATCH(Sheet2!$B$1,Sheet1!$A$1:$E$1,0),FALSE)</f>
        <v>703</v>
      </c>
    </row>
    <row r="12" spans="1:4" x14ac:dyDescent="0.25">
      <c r="A12" t="s">
        <v>6</v>
      </c>
      <c r="B12">
        <f>VLOOKUP(A12,Sheet1!$A$2:$E$37,MATCH(Sheet2!$B$1,Sheet1!$A$1:$E$1,0),FALSE)</f>
        <v>4123</v>
      </c>
    </row>
    <row r="13" spans="1:4" x14ac:dyDescent="0.25">
      <c r="A13" t="s">
        <v>7</v>
      </c>
      <c r="B13">
        <f>VLOOKUP(A13,Sheet1!$A$2:$E$37,MATCH(Sheet2!$B$1,Sheet1!$A$1:$E$1,0),FALSE)</f>
        <v>2650</v>
      </c>
    </row>
    <row r="14" spans="1:4" x14ac:dyDescent="0.25">
      <c r="A14" t="s">
        <v>8</v>
      </c>
      <c r="B14">
        <f>VLOOKUP(A14,Sheet1!$A$2:$E$37,MATCH(Sheet2!$B$1,Sheet1!$A$1:$E$1,0),FALSE)</f>
        <v>765</v>
      </c>
    </row>
    <row r="15" spans="1:4" x14ac:dyDescent="0.25">
      <c r="A15" t="s">
        <v>9</v>
      </c>
      <c r="B15">
        <f>VLOOKUP(A15,Sheet1!$A$2:$E$37,MATCH(Sheet2!$B$1,Sheet1!$A$1:$E$1,0),FALSE)</f>
        <v>1767</v>
      </c>
    </row>
    <row r="16" spans="1:4" x14ac:dyDescent="0.25">
      <c r="A16" t="s">
        <v>10</v>
      </c>
      <c r="B16">
        <f>VLOOKUP(A16,Sheet1!$A$2:$E$37,MATCH(Sheet2!$B$1,Sheet1!$A$1:$E$1,0),FALSE)</f>
        <v>991</v>
      </c>
    </row>
    <row r="17" spans="1:2" x14ac:dyDescent="0.25">
      <c r="A17" t="s">
        <v>11</v>
      </c>
      <c r="B17">
        <f>VLOOKUP(A17,Sheet1!$A$2:$E$37,MATCH(Sheet2!$B$1,Sheet1!$A$1:$E$1,0),FALSE)</f>
        <v>11900</v>
      </c>
    </row>
    <row r="18" spans="1:2" x14ac:dyDescent="0.25">
      <c r="A18" t="s">
        <v>12</v>
      </c>
      <c r="B18">
        <f>VLOOKUP(A18,Sheet1!$A$2:$E$37,MATCH(Sheet2!$B$1,Sheet1!$A$1:$E$1,0),FALSE)</f>
        <v>2507</v>
      </c>
    </row>
    <row r="19" spans="1:2" x14ac:dyDescent="0.25">
      <c r="A19" t="s">
        <v>30</v>
      </c>
      <c r="B19">
        <f>VLOOKUP(A19,Sheet1!$A$2:$E$37,MATCH(Sheet2!$B$1,Sheet1!$A$1:$E$1,0),FALSE)</f>
        <v>122</v>
      </c>
    </row>
    <row r="20" spans="1:2" x14ac:dyDescent="0.25">
      <c r="A20" t="s">
        <v>31</v>
      </c>
      <c r="B20">
        <f>VLOOKUP(A20,Sheet1!$A$2:$E$37,MATCH(Sheet2!$B$1,Sheet1!$A$1:$E$1,0),FALSE)</f>
        <v>0</v>
      </c>
    </row>
    <row r="21" spans="1:2" x14ac:dyDescent="0.25">
      <c r="A21" t="s">
        <v>13</v>
      </c>
      <c r="B21">
        <f>VLOOKUP(A21,Sheet1!$A$2:$E$37,MATCH(Sheet2!$B$1,Sheet1!$A$1:$E$1,0),FALSE)</f>
        <v>3366</v>
      </c>
    </row>
    <row r="22" spans="1:2" x14ac:dyDescent="0.25">
      <c r="A22" t="s">
        <v>14</v>
      </c>
      <c r="B22">
        <f>VLOOKUP(A22,Sheet1!$A$2:$E$37,MATCH(Sheet2!$B$1,Sheet1!$A$1:$E$1,0),FALSE)</f>
        <v>47902</v>
      </c>
    </row>
    <row r="23" spans="1:2" x14ac:dyDescent="0.25">
      <c r="A23" t="s">
        <v>32</v>
      </c>
      <c r="B23">
        <f>VLOOKUP(A23,Sheet1!$A$2:$E$37,MATCH(Sheet2!$B$1,Sheet1!$A$1:$E$1,0),FALSE)</f>
        <v>318</v>
      </c>
    </row>
    <row r="24" spans="1:2" x14ac:dyDescent="0.25">
      <c r="A24" t="s">
        <v>33</v>
      </c>
      <c r="B24">
        <f>VLOOKUP(A24,Sheet1!$A$2:$E$37,MATCH(Sheet2!$B$1,Sheet1!$A$1:$E$1,0),FALSE)</f>
        <v>122</v>
      </c>
    </row>
    <row r="25" spans="1:2" x14ac:dyDescent="0.25">
      <c r="A25" t="s">
        <v>34</v>
      </c>
      <c r="B25">
        <f>VLOOKUP(A25,Sheet1!$A$2:$E$37,MATCH(Sheet2!$B$1,Sheet1!$A$1:$E$1,0),FALSE)</f>
        <v>6</v>
      </c>
    </row>
    <row r="26" spans="1:2" x14ac:dyDescent="0.25">
      <c r="A26" t="s">
        <v>35</v>
      </c>
      <c r="B26">
        <f>VLOOKUP(A26,Sheet1!$A$2:$E$37,MATCH(Sheet2!$B$1,Sheet1!$A$1:$E$1,0),FALSE)</f>
        <v>67</v>
      </c>
    </row>
    <row r="27" spans="1:2" x14ac:dyDescent="0.25">
      <c r="A27" t="s">
        <v>42</v>
      </c>
      <c r="B27">
        <f>VLOOKUP(A27,Sheet1!$A$2:$E$37,MATCH(Sheet2!$B$1,Sheet1!$A$1:$E$1,0),FALSE)</f>
        <v>1789</v>
      </c>
    </row>
    <row r="28" spans="1:2" x14ac:dyDescent="0.25">
      <c r="A28" t="s">
        <v>36</v>
      </c>
      <c r="B28">
        <f>VLOOKUP(A28,Sheet1!$A$2:$E$37,MATCH(Sheet2!$B$1,Sheet1!$A$1:$E$1,0),FALSE)</f>
        <v>615</v>
      </c>
    </row>
    <row r="29" spans="1:2" x14ac:dyDescent="0.25">
      <c r="A29" t="s">
        <v>15</v>
      </c>
      <c r="B29">
        <f>VLOOKUP(A29,Sheet1!$A$2:$E$37,MATCH(Sheet2!$B$1,Sheet1!$A$1:$E$1,0),FALSE)</f>
        <v>4980</v>
      </c>
    </row>
    <row r="30" spans="1:2" x14ac:dyDescent="0.25">
      <c r="A30" t="s">
        <v>16</v>
      </c>
      <c r="B30">
        <f>VLOOKUP(A30,Sheet1!$A$2:$E$37,MATCH(Sheet2!$B$1,Sheet1!$A$1:$E$1,0),FALSE)</f>
        <v>2485</v>
      </c>
    </row>
    <row r="31" spans="1:2" x14ac:dyDescent="0.25">
      <c r="A31" t="s">
        <v>37</v>
      </c>
      <c r="B31">
        <f>VLOOKUP(A31,Sheet1!$A$2:$E$37,MATCH(Sheet2!$B$1,Sheet1!$A$1:$E$1,0),FALSE)</f>
        <v>117</v>
      </c>
    </row>
    <row r="32" spans="1:2" x14ac:dyDescent="0.25">
      <c r="A32" t="s">
        <v>17</v>
      </c>
      <c r="B32">
        <f>VLOOKUP(A32,Sheet1!$A$2:$E$37,MATCH(Sheet2!$B$1,Sheet1!$A$1:$E$1,0),FALSE)</f>
        <v>11836</v>
      </c>
    </row>
    <row r="33" spans="1:2" x14ac:dyDescent="0.25">
      <c r="A33" t="s">
        <v>38</v>
      </c>
      <c r="B33">
        <f>VLOOKUP(A33,Sheet1!$A$2:$E$37,MATCH(Sheet2!$B$1,Sheet1!$A$1:$E$1,0),FALSE)</f>
        <v>1482</v>
      </c>
    </row>
    <row r="34" spans="1:2" x14ac:dyDescent="0.25">
      <c r="A34" t="s">
        <v>39</v>
      </c>
      <c r="B34">
        <f>VLOOKUP(A34,Sheet1!$A$2:$E$37,MATCH(Sheet2!$B$1,Sheet1!$A$1:$E$1,0),FALSE)</f>
        <v>373</v>
      </c>
    </row>
    <row r="35" spans="1:2" x14ac:dyDescent="0.25">
      <c r="A35" t="s">
        <v>43</v>
      </c>
      <c r="B35">
        <f>VLOOKUP(A35,Sheet1!$A$2:$E$37,MATCH(Sheet2!$B$1,Sheet1!$A$1:$E$1,0),FALSE)</f>
        <v>1320</v>
      </c>
    </row>
    <row r="36" spans="1:2" x14ac:dyDescent="0.25">
      <c r="A36" t="s">
        <v>18</v>
      </c>
      <c r="B36">
        <f>VLOOKUP(A36,Sheet1!$A$2:$E$37,MATCH(Sheet2!$B$1,Sheet1!$A$1:$E$1,0),FALSE)</f>
        <v>7987</v>
      </c>
    </row>
    <row r="37" spans="1:2" x14ac:dyDescent="0.25">
      <c r="A37" t="s">
        <v>19</v>
      </c>
      <c r="B37">
        <f>VLOOKUP(A37,Sheet1!$A$2:$E$37,MATCH(Sheet2!$B$1,Sheet1!$A$1:$E$1,0),FALSE)</f>
        <v>8867</v>
      </c>
    </row>
    <row r="38" spans="1:2" x14ac:dyDescent="0.25">
      <c r="A38" s="4"/>
    </row>
    <row r="39" spans="1:2" x14ac:dyDescent="0.25">
      <c r="A39" s="4"/>
    </row>
  </sheetData>
  <conditionalFormatting sqref="A38:A39">
    <cfRule type="colorScale" priority="2">
      <colorScale>
        <cfvo type="min"/>
        <cfvo type="percentile" val="50"/>
        <cfvo type="max"/>
        <color theme="9" tint="0.39994506668294322"/>
        <color rgb="FFFFEB84"/>
        <color rgb="FFFF0000"/>
      </colorScale>
    </cfRule>
  </conditionalFormatting>
  <conditionalFormatting sqref="A2:A37">
    <cfRule type="colorScale" priority="1">
      <colorScale>
        <cfvo type="min"/>
        <cfvo type="percentile" val="50"/>
        <cfvo type="max"/>
        <color theme="9" tint="0.39997558519241921"/>
        <color rgb="FFFFEB84"/>
        <color rgb="FFFF0000"/>
      </colorScale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Sheet1!#REF!</xm:f>
          </x14:formula1>
          <xm:sqref>C1</xm:sqref>
        </x14:dataValidation>
        <x14:dataValidation type="list" allowBlank="1" showInputMessage="1" showErrorMessage="1">
          <x14:formula1>
            <xm:f>Sheet1!$B$1:$E$1</xm:f>
          </x14:formula1>
          <xm:sqref>B1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C0B09EFD-239E-4D92-A55E-187B016A174D}">
          <xm:f>Sheet2!$A$1:$B$37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Sheet2</vt:lpstr>
      <vt:lpstr>Active</vt:lpstr>
      <vt:lpstr>Confirmed</vt:lpstr>
      <vt:lpstr>Deaths</vt:lpstr>
      <vt:lpstr>Recovered</vt:lpstr>
      <vt:lpstr>State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2020-12-06T12:26:04Z</dcterms:created>
  <dcterms:modified xsi:type="dcterms:W3CDTF">2020-12-10T15:13:30Z</dcterms:modified>
</cp:coreProperties>
</file>